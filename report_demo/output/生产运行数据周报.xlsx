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0625\AppData\Local\Kingsoft\WPS Office\12.1.0.29161\office6\"/>
    </mc:Choice>
  </mc:AlternateContent>
  <bookViews>
    <workbookView/>
  </bookViews>
  <sheets>
    <sheet name="周数据" sheetId="2" r:id="rId1"/>
    <sheet name="趋势分析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<sst xmlns="http://schemas.openxmlformats.org/spreadsheetml/2006/main" count="14" uniqueCount="14">
  <si>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装置</t>
  </si>
  <si>
    <t>产量(吨)</t>
  </si>
  <si>
    <t>能耗(kgce/t)</t>
  </si>
  <si>
    <t>优级品率(%)</t>
  </si>
  <si>
    <t>PDH装置</t>
  </si>
  <si>
    <t>PP装置</t>
  </si>
  <si>
    <t>公用工程</t>
  </si>
  <si>
    <t>储运装置</t>
  </si>
  <si>
    <t>改性生产线</t>
  </si>
  <si>
    <t>辅助装置</t>
  </si>
  <si>
    <t>合计</t>
  </si>
  <si>
    <t>日期</t>
  </si>
  <si>
    <t>日产量(吨)</t>
  </si>
  <si>
    <t>开工率(%)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</si>
</sst>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3C8B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58" fontId="0" fillId="0" borderId="7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58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452755</xdr:colOff>
      <xdr:row>0</xdr:row>
      <xdr:rowOff>127000</xdr:rowOff>
    </xdr:from>
    <xdr:to>
      <xdr:col>16</xdr:col>
      <xdr:colOff>71755</xdr:colOff>
      <xdr:row>20</xdr:row>
      <xdr:rowOff>0</xdr:rowOff>
    </xdr:to>
    <xdr:pic>
      <xdr:nvPicPr>
        <xdr:cNvPr id="2" name="图片 1" descr="各装置产量与能耗对比"/>
        <xdr:cNvPicPr/>
      </xdr:nvPicPr>
      <xdr:blipFill>
        <a:blip r:embed="rId1"/>
        <a:stretch>
          <a:fillRect/>
        </a:stretch>
      </xdr:blipFill>
      <xdr:spPr>
        <a:xfrm>
          <a:off x="6350000" y="127000"/>
          <a:ext cx="6096000" cy="330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629285</xdr:colOff>
      <xdr:row>0</xdr:row>
      <xdr:rowOff>127000</xdr:rowOff>
    </xdr:from>
    <xdr:to>
      <xdr:col>17</xdr:col>
      <xdr:colOff>248285</xdr:colOff>
      <xdr:row>20</xdr:row>
      <xdr:rowOff>0</xdr:rowOff>
    </xdr:to>
    <xdr:pic>
      <xdr:nvPicPr>
        <xdr:cNvPr id="2" name="图片 1" descr="一周产量与开工率趋势"/>
        <xdr:cNvPicPr/>
      </xdr:nvPicPr>
      <xdr:blipFill>
        <a:blip r:embed="rId1"/>
        <a:stretch>
          <a:fillRect/>
        </a:stretch>
      </xdr:blipFill>
      <xdr:spPr>
        <a:xfrm>
          <a:off x="6350000" y="127000"/>
          <a:ext cx="6096000" cy="33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8"/>
  <sheetViews>
    <sheetView tabSelected="1" workbookViewId="0">
      <selection activeCell="A1" sqref="A1"/>
    </sheetView>
  </sheetViews>
  <sheetFormatPr defaultColWidth="9.02654867256637" defaultRowHeight="13.5" outlineLevelRow="7" outlineLevelCol="3"/>
  <cols>
    <col min="1" max="1" width="16.5309734513274" customWidth="1"/>
    <col min="2" max="2" width="14.5398230088496" customWidth="1"/>
    <col min="3" max="4" width="16.5309734513274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13" t="s">
        <v>4</v>
      </c>
      <c r="B2" s="5">
        <v>4210</v>
      </c>
      <c r="C2" s="14">
        <v>285.6</v>
      </c>
      <c r="D2" s="6">
        <v>98.2</v>
      </c>
    </row>
    <row r="3" spans="1:4">
      <c r="A3" s="15" t="s">
        <v>5</v>
      </c>
      <c r="B3" s="8">
        <v>3850</v>
      </c>
      <c r="C3" s="16">
        <v>312.4</v>
      </c>
      <c r="D3" s="9">
        <v>97.5</v>
      </c>
    </row>
    <row r="4" spans="1:4">
      <c r="A4" s="15" t="s">
        <v>6</v>
      </c>
      <c r="B4" s="8">
        <v>1260</v>
      </c>
      <c r="C4" s="16">
        <v>198.3</v>
      </c>
      <c r="D4" s="9">
        <v>99.1</v>
      </c>
    </row>
    <row r="5" spans="1:4">
      <c r="A5" s="15" t="s">
        <v>7</v>
      </c>
      <c r="B5" s="8">
        <v>980</v>
      </c>
      <c r="C5" s="16">
        <v>176.2</v>
      </c>
      <c r="D5" s="9">
        <v>96.8</v>
      </c>
    </row>
    <row r="6" spans="1:4">
      <c r="A6" s="15" t="s">
        <v>8</v>
      </c>
      <c r="B6" s="8">
        <v>742</v>
      </c>
      <c r="C6" s="16">
        <v>352.7</v>
      </c>
      <c r="D6" s="9">
        <v>95.9</v>
      </c>
    </row>
    <row r="7" spans="1:4">
      <c r="A7" s="17" t="s">
        <v>9</v>
      </c>
      <c r="B7" s="11">
        <v>658</v>
      </c>
      <c r="C7" s="18">
        <v>205.1</v>
      </c>
      <c r="D7" s="12">
        <v>97.3</v>
      </c>
    </row>
    <row r="8" spans="1:4">
      <c r="A8" s="19" t="s">
        <v>10</v>
      </c>
      <c r="B8" s="20">
        <f>SUM(B2:B7)</f>
        <v>11700</v>
      </c>
      <c r="C8" s="20">
        <f>SUM(C2:C7)</f>
        <v>1530.3</v>
      </c>
      <c r="D8" s="21">
        <f>AVERAGE(D2:D7)</f>
        <v>97.4666666666667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"/>
  <sheetViews>
    <sheetView workbookViewId="0">
      <selection activeCell="A1" sqref="A1"/>
    </sheetView>
  </sheetViews>
  <sheetFormatPr defaultColWidth="9.02654867256637" defaultRowHeight="13.5" outlineLevelRow="7" outlineLevelCol="2"/>
  <cols>
    <col min="1" max="1" width="12.5486725663717" customWidth="1"/>
    <col min="2" max="2" width="16.5309734513274" customWidth="1"/>
    <col min="3" max="3" width="14.5398230088496" customWidth="1"/>
  </cols>
  <sheetData>
    <row r="1" spans="1:3">
      <c r="A1" s="1" t="s">
        <v>11</v>
      </c>
      <c r="B1" s="2" t="s">
        <v>12</v>
      </c>
      <c r="C1" s="3" t="s">
        <v>13</v>
      </c>
    </row>
    <row r="2" spans="1:3">
      <c r="A2" s="4">
        <v>46315</v>
      </c>
      <c r="B2" s="5">
        <v>1312</v>
      </c>
      <c r="C2" s="6">
        <v>88.5</v>
      </c>
    </row>
    <row r="3" spans="1:3">
      <c r="A3" s="7">
        <v>46316</v>
      </c>
      <c r="B3" s="8">
        <v>1358</v>
      </c>
      <c r="C3" s="9">
        <v>91.2</v>
      </c>
    </row>
    <row r="4" spans="1:3">
      <c r="A4" s="7">
        <v>46317</v>
      </c>
      <c r="B4" s="8">
        <v>1402</v>
      </c>
      <c r="C4" s="9">
        <v>93.8</v>
      </c>
    </row>
    <row r="5" spans="1:3">
      <c r="A5" s="7">
        <v>46318</v>
      </c>
      <c r="B5" s="8">
        <v>1375</v>
      </c>
      <c r="C5" s="9">
        <v>92.1</v>
      </c>
    </row>
    <row r="6" spans="1:3">
      <c r="A6" s="7">
        <v>46319</v>
      </c>
      <c r="B6" s="8">
        <v>1428</v>
      </c>
      <c r="C6" s="9">
        <v>95.6</v>
      </c>
    </row>
    <row r="7" spans="1:3">
      <c r="A7" s="7">
        <v>46320</v>
      </c>
      <c r="B7" s="8">
        <v>1390</v>
      </c>
      <c r="C7" s="9">
        <v>93.2</v>
      </c>
    </row>
    <row r="8" spans="1:3">
      <c r="A8" s="10">
        <v>46321</v>
      </c>
      <c r="B8" s="11">
        <v>1456</v>
      </c>
      <c r="C8" s="12">
        <v>96.4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周数据</vt:lpstr>
      <vt:lpstr>趋势分析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10625</dc:creator>
  <cp:lastModifiedBy>李聃0986</cp:lastModifiedBy>
  <dcterms:created xsi:type="dcterms:W3CDTF">2026-10-29T04:33:19Z</dcterms:created>
  <dcterms:modified xsi:type="dcterms:W3CDTF">2026-10-29T04:33:19Z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2BA4B12D689C448FB9964D81EEECB4A1_11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